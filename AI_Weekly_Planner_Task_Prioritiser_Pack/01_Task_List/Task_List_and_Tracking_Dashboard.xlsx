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st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'Task List'!$A$1:$O$26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4" customWidth="1" min="4" max="4"/>
    <col width="13" customWidth="1" min="5" max="5"/>
    <col width="28" customWidth="1" min="6" max="6"/>
    <col width="16" customWidth="1" min="7" max="7"/>
    <col width="14" customWidth="1" min="8" max="8"/>
    <col width="14" customWidth="1" min="9" max="9"/>
    <col width="14" customWidth="1" min="10" max="10"/>
    <col width="13" customWidth="1" min="11" max="11"/>
    <col width="16" customWidth="1" min="12" max="12"/>
    <col width="15" customWidth="1" min="13" max="13"/>
    <col width="15" customWidth="1" min="14" max="14"/>
    <col width="38" customWidth="1" min="15" max="15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Deadline</t>
        </is>
      </c>
      <c r="D1" s="1" t="inlineStr">
        <is>
          <t>Effort (hrs)</t>
        </is>
      </c>
      <c r="E1" s="1" t="inlineStr">
        <is>
          <t>Importance</t>
        </is>
      </c>
      <c r="F1" s="1" t="inlineStr">
        <is>
          <t>Priority note</t>
        </is>
      </c>
      <c r="G1" s="1" t="inlineStr">
        <is>
          <t>Category</t>
        </is>
      </c>
      <c r="H1" s="1" t="inlineStr">
        <is>
          <t>Planned date</t>
        </is>
      </c>
      <c r="I1" s="1" t="inlineStr">
        <is>
          <t>Planned start</t>
        </is>
      </c>
      <c r="J1" s="1" t="inlineStr">
        <is>
          <t>Planned end</t>
        </is>
      </c>
      <c r="K1" s="1" t="inlineStr">
        <is>
          <t>Actual hours</t>
        </is>
      </c>
      <c r="L1" s="1" t="inlineStr">
        <is>
          <t>Status</t>
        </is>
      </c>
      <c r="M1" s="1" t="inlineStr">
        <is>
          <t>Completed date</t>
        </is>
      </c>
      <c r="N1" s="1" t="inlineStr">
        <is>
          <t>Overdue flag</t>
        </is>
      </c>
      <c r="O1" s="1" t="inlineStr">
        <is>
          <t>Notes</t>
        </is>
      </c>
    </row>
    <row r="2">
      <c r="A2" s="2" t="inlineStr">
        <is>
          <t>T01</t>
        </is>
      </c>
      <c r="B2" s="2" t="inlineStr">
        <is>
          <t>Complete capstone task list and setup</t>
        </is>
      </c>
      <c r="C2" s="3" t="n">
        <v>46321</v>
      </c>
      <c r="D2" s="2" t="n">
        <v>1</v>
      </c>
      <c r="E2" s="2" t="inlineStr">
        <is>
          <t>High</t>
        </is>
      </c>
      <c r="F2" s="2" t="inlineStr">
        <is>
          <t>Important; schedule early</t>
        </is>
      </c>
      <c r="G2" s="2" t="inlineStr">
        <is>
          <t>Planning</t>
        </is>
      </c>
      <c r="H2" s="2" t="inlineStr"/>
      <c r="I2" s="2" t="inlineStr"/>
      <c r="J2" s="2" t="inlineStr"/>
      <c r="K2" s="2" t="inlineStr"/>
      <c r="L2" s="2" t="inlineStr">
        <is>
          <t>Not started</t>
        </is>
      </c>
      <c r="M2" s="2" t="inlineStr"/>
      <c r="N2" s="2">
        <f>IF(AND(C2&lt;TODAY(),L2&lt;&gt;"Completed"),"Overdue","")</f>
        <v/>
      </c>
      <c r="O2" s="2" t="inlineStr">
        <is>
          <t>Illustrative sample; confirm task and deadline</t>
        </is>
      </c>
    </row>
    <row r="3">
      <c r="A3" s="2" t="inlineStr">
        <is>
          <t>T02</t>
        </is>
      </c>
      <c r="B3" s="2" t="inlineStr">
        <is>
          <t>Review Subject A — Unit 1</t>
        </is>
      </c>
      <c r="C3" s="3" t="n">
        <v>46321</v>
      </c>
      <c r="D3" s="2" t="n">
        <v>2</v>
      </c>
      <c r="E3" s="2" t="inlineStr">
        <is>
          <t>High</t>
        </is>
      </c>
      <c r="F3" s="2" t="inlineStr">
        <is>
          <t>Urgent + important</t>
        </is>
      </c>
      <c r="G3" s="2" t="inlineStr">
        <is>
          <t>Study</t>
        </is>
      </c>
      <c r="H3" s="2" t="inlineStr"/>
      <c r="I3" s="2" t="inlineStr"/>
      <c r="J3" s="2" t="inlineStr"/>
      <c r="K3" s="2" t="inlineStr"/>
      <c r="L3" s="2" t="inlineStr">
        <is>
          <t>Not started</t>
        </is>
      </c>
      <c r="M3" s="2" t="inlineStr"/>
      <c r="N3" s="2">
        <f>IF(AND(C3&lt;TODAY(),L3&lt;&gt;"Completed"),"Overdue","")</f>
        <v/>
      </c>
      <c r="O3" s="2" t="inlineStr">
        <is>
          <t>Illustrative sample; confirm task and deadline</t>
        </is>
      </c>
    </row>
    <row r="4">
      <c r="A4" s="2" t="inlineStr">
        <is>
          <t>T03</t>
        </is>
      </c>
      <c r="B4" s="2" t="inlineStr">
        <is>
          <t>Programming practice set</t>
        </is>
      </c>
      <c r="C4" s="3" t="n">
        <v>46322</v>
      </c>
      <c r="D4" s="2" t="n">
        <v>2</v>
      </c>
      <c r="E4" s="2" t="inlineStr">
        <is>
          <t>High</t>
        </is>
      </c>
      <c r="F4" s="2" t="inlineStr">
        <is>
          <t>Urgent + important</t>
        </is>
      </c>
      <c r="G4" s="2" t="inlineStr">
        <is>
          <t>Coding</t>
        </is>
      </c>
      <c r="H4" s="2" t="inlineStr"/>
      <c r="I4" s="2" t="inlineStr"/>
      <c r="J4" s="2" t="inlineStr"/>
      <c r="K4" s="2" t="inlineStr"/>
      <c r="L4" s="2" t="inlineStr">
        <is>
          <t>Not started</t>
        </is>
      </c>
      <c r="M4" s="2" t="inlineStr"/>
      <c r="N4" s="2">
        <f>IF(AND(C4&lt;TODAY(),L4&lt;&gt;"Completed"),"Overdue","")</f>
        <v/>
      </c>
      <c r="O4" s="2" t="inlineStr">
        <is>
          <t>Illustrative sample; confirm task and deadline</t>
        </is>
      </c>
    </row>
    <row r="5">
      <c r="A5" s="2" t="inlineStr">
        <is>
          <t>T04</t>
        </is>
      </c>
      <c r="B5" s="2" t="inlineStr">
        <is>
          <t>Draft assignment</t>
        </is>
      </c>
      <c r="C5" s="3" t="n">
        <v>46322</v>
      </c>
      <c r="D5" s="2" t="n">
        <v>2</v>
      </c>
      <c r="E5" s="2" t="inlineStr">
        <is>
          <t>High</t>
        </is>
      </c>
      <c r="F5" s="2" t="inlineStr">
        <is>
          <t>Urgent + important</t>
        </is>
      </c>
      <c r="G5" s="2" t="inlineStr">
        <is>
          <t>Assignment</t>
        </is>
      </c>
      <c r="H5" s="2" t="inlineStr"/>
      <c r="I5" s="2" t="inlineStr"/>
      <c r="J5" s="2" t="inlineStr"/>
      <c r="K5" s="2" t="inlineStr"/>
      <c r="L5" s="2" t="inlineStr">
        <is>
          <t>Not started</t>
        </is>
      </c>
      <c r="M5" s="2" t="inlineStr"/>
      <c r="N5" s="2">
        <f>IF(AND(C5&lt;TODAY(),L5&lt;&gt;"Completed"),"Overdue","")</f>
        <v/>
      </c>
      <c r="O5" s="2" t="inlineStr">
        <is>
          <t>Illustrative sample; confirm task and deadline</t>
        </is>
      </c>
    </row>
    <row r="6">
      <c r="A6" s="2" t="inlineStr">
        <is>
          <t>T05</t>
        </is>
      </c>
      <c r="B6" s="2" t="inlineStr">
        <is>
          <t>Revise Subject B — Unit 2</t>
        </is>
      </c>
      <c r="C6" s="3" t="n">
        <v>46323</v>
      </c>
      <c r="D6" s="2" t="n">
        <v>1.5</v>
      </c>
      <c r="E6" s="2" t="inlineStr">
        <is>
          <t>High</t>
        </is>
      </c>
      <c r="F6" s="2" t="inlineStr">
        <is>
          <t>Important; near deadline</t>
        </is>
      </c>
      <c r="G6" s="2" t="inlineStr">
        <is>
          <t>Study</t>
        </is>
      </c>
      <c r="H6" s="2" t="inlineStr"/>
      <c r="I6" s="2" t="inlineStr"/>
      <c r="J6" s="2" t="inlineStr"/>
      <c r="K6" s="2" t="inlineStr"/>
      <c r="L6" s="2" t="inlineStr">
        <is>
          <t>Not started</t>
        </is>
      </c>
      <c r="M6" s="2" t="inlineStr"/>
      <c r="N6" s="2">
        <f>IF(AND(C6&lt;TODAY(),L6&lt;&gt;"Completed"),"Overdue","")</f>
        <v/>
      </c>
      <c r="O6" s="2" t="inlineStr">
        <is>
          <t>Illustrative sample; confirm task and deadline</t>
        </is>
      </c>
    </row>
    <row r="7">
      <c r="A7" s="2" t="inlineStr">
        <is>
          <t>T06</t>
        </is>
      </c>
      <c r="B7" s="2" t="inlineStr">
        <is>
          <t>Complete database lab exercise</t>
        </is>
      </c>
      <c r="C7" s="3" t="n">
        <v>46323</v>
      </c>
      <c r="D7" s="2" t="n">
        <v>2</v>
      </c>
      <c r="E7" s="2" t="inlineStr">
        <is>
          <t>High</t>
        </is>
      </c>
      <c r="F7" s="2" t="inlineStr">
        <is>
          <t>Urgent + important</t>
        </is>
      </c>
      <c r="G7" s="2" t="inlineStr">
        <is>
          <t>Lab</t>
        </is>
      </c>
      <c r="H7" s="2" t="inlineStr"/>
      <c r="I7" s="2" t="inlineStr"/>
      <c r="J7" s="2" t="inlineStr"/>
      <c r="K7" s="2" t="inlineStr"/>
      <c r="L7" s="2" t="inlineStr">
        <is>
          <t>Not started</t>
        </is>
      </c>
      <c r="M7" s="2" t="inlineStr"/>
      <c r="N7" s="2">
        <f>IF(AND(C7&lt;TODAY(),L7&lt;&gt;"Completed"),"Overdue","")</f>
        <v/>
      </c>
      <c r="O7" s="2" t="inlineStr">
        <is>
          <t>Illustrative sample; confirm task and deadline</t>
        </is>
      </c>
    </row>
    <row r="8">
      <c r="A8" s="2" t="inlineStr">
        <is>
          <t>T07</t>
        </is>
      </c>
      <c r="B8" s="2" t="inlineStr">
        <is>
          <t>Research weekly-planning methods</t>
        </is>
      </c>
      <c r="C8" s="3" t="n">
        <v>46323</v>
      </c>
      <c r="D8" s="2" t="n">
        <v>1</v>
      </c>
      <c r="E8" s="2" t="inlineStr">
        <is>
          <t>Medium</t>
        </is>
      </c>
      <c r="F8" s="2" t="inlineStr">
        <is>
          <t>Important; bounded research</t>
        </is>
      </c>
      <c r="G8" s="2" t="inlineStr">
        <is>
          <t>Research</t>
        </is>
      </c>
      <c r="H8" s="2" t="inlineStr"/>
      <c r="I8" s="2" t="inlineStr"/>
      <c r="J8" s="2" t="inlineStr"/>
      <c r="K8" s="2" t="inlineStr"/>
      <c r="L8" s="2" t="inlineStr">
        <is>
          <t>Not started</t>
        </is>
      </c>
      <c r="M8" s="2" t="inlineStr"/>
      <c r="N8" s="2">
        <f>IF(AND(C8&lt;TODAY(),L8&lt;&gt;"Completed"),"Overdue","")</f>
        <v/>
      </c>
      <c r="O8" s="2" t="inlineStr">
        <is>
          <t>Illustrative sample; confirm task and deadline</t>
        </is>
      </c>
    </row>
    <row r="9">
      <c r="A9" s="2" t="inlineStr">
        <is>
          <t>T08</t>
        </is>
      </c>
      <c r="B9" s="2" t="inlineStr">
        <is>
          <t>Create project workflow diagram</t>
        </is>
      </c>
      <c r="C9" s="3" t="n">
        <v>46324</v>
      </c>
      <c r="D9" s="2" t="n">
        <v>1.5</v>
      </c>
      <c r="E9" s="2" t="inlineStr">
        <is>
          <t>High</t>
        </is>
      </c>
      <c r="F9" s="2" t="inlineStr">
        <is>
          <t>Important project milestone</t>
        </is>
      </c>
      <c r="G9" s="2" t="inlineStr">
        <is>
          <t>Project</t>
        </is>
      </c>
      <c r="H9" s="2" t="inlineStr"/>
      <c r="I9" s="2" t="inlineStr"/>
      <c r="J9" s="2" t="inlineStr"/>
      <c r="K9" s="2" t="inlineStr"/>
      <c r="L9" s="2" t="inlineStr">
        <is>
          <t>Not started</t>
        </is>
      </c>
      <c r="M9" s="2" t="inlineStr"/>
      <c r="N9" s="2">
        <f>IF(AND(C9&lt;TODAY(),L9&lt;&gt;"Completed"),"Overdue","")</f>
        <v/>
      </c>
      <c r="O9" s="2" t="inlineStr">
        <is>
          <t>Illustrative sample; confirm task and deadline</t>
        </is>
      </c>
    </row>
    <row r="10">
      <c r="A10" s="2" t="inlineStr">
        <is>
          <t>T09</t>
        </is>
      </c>
      <c r="B10" s="2" t="inlineStr">
        <is>
          <t>Mathematics problem set</t>
        </is>
      </c>
      <c r="C10" s="3" t="n">
        <v>46324</v>
      </c>
      <c r="D10" s="2" t="n">
        <v>2</v>
      </c>
      <c r="E10" s="2" t="inlineStr">
        <is>
          <t>High</t>
        </is>
      </c>
      <c r="F10" s="2" t="inlineStr">
        <is>
          <t>Urgent + important</t>
        </is>
      </c>
      <c r="G10" s="2" t="inlineStr">
        <is>
          <t>Study</t>
        </is>
      </c>
      <c r="H10" s="2" t="inlineStr"/>
      <c r="I10" s="2" t="inlineStr"/>
      <c r="J10" s="2" t="inlineStr"/>
      <c r="K10" s="2" t="inlineStr"/>
      <c r="L10" s="2" t="inlineStr">
        <is>
          <t>Not started</t>
        </is>
      </c>
      <c r="M10" s="2" t="inlineStr"/>
      <c r="N10" s="2">
        <f>IF(AND(C10&lt;TODAY(),L10&lt;&gt;"Completed"),"Overdue","")</f>
        <v/>
      </c>
      <c r="O10" s="2" t="inlineStr">
        <is>
          <t>Illustrative sample; confirm task and deadline</t>
        </is>
      </c>
    </row>
    <row r="11">
      <c r="A11" s="2" t="inlineStr">
        <is>
          <t>T10</t>
        </is>
      </c>
      <c r="B11" s="2" t="inlineStr">
        <is>
          <t>Revise Subject A — Unit 2</t>
        </is>
      </c>
      <c r="C11" s="3" t="n">
        <v>46324</v>
      </c>
      <c r="D11" s="2" t="n">
        <v>1.5</v>
      </c>
      <c r="E11" s="2" t="inlineStr">
        <is>
          <t>Medium</t>
        </is>
      </c>
      <c r="F11" s="2" t="inlineStr">
        <is>
          <t>Important; schedule</t>
        </is>
      </c>
      <c r="G11" s="2" t="inlineStr">
        <is>
          <t>Study</t>
        </is>
      </c>
      <c r="H11" s="2" t="inlineStr"/>
      <c r="I11" s="2" t="inlineStr"/>
      <c r="J11" s="2" t="inlineStr"/>
      <c r="K11" s="2" t="inlineStr"/>
      <c r="L11" s="2" t="inlineStr">
        <is>
          <t>Not started</t>
        </is>
      </c>
      <c r="M11" s="2" t="inlineStr"/>
      <c r="N11" s="2">
        <f>IF(AND(C11&lt;TODAY(),L11&lt;&gt;"Completed"),"Overdue","")</f>
        <v/>
      </c>
      <c r="O11" s="2" t="inlineStr">
        <is>
          <t>Illustrative sample; confirm task and deadline</t>
        </is>
      </c>
    </row>
    <row r="12">
      <c r="A12" s="2" t="inlineStr">
        <is>
          <t>T11</t>
        </is>
      </c>
      <c r="B12" s="2" t="inlineStr">
        <is>
          <t>Complete weekly assignment</t>
        </is>
      </c>
      <c r="C12" s="3" t="n">
        <v>46325</v>
      </c>
      <c r="D12" s="2" t="n">
        <v>2</v>
      </c>
      <c r="E12" s="2" t="inlineStr">
        <is>
          <t>High</t>
        </is>
      </c>
      <c r="F12" s="2" t="inlineStr">
        <is>
          <t>Urgent + important</t>
        </is>
      </c>
      <c r="G12" s="2" t="inlineStr">
        <is>
          <t>Assignment</t>
        </is>
      </c>
      <c r="H12" s="2" t="inlineStr"/>
      <c r="I12" s="2" t="inlineStr"/>
      <c r="J12" s="2" t="inlineStr"/>
      <c r="K12" s="2" t="inlineStr"/>
      <c r="L12" s="2" t="inlineStr">
        <is>
          <t>Not started</t>
        </is>
      </c>
      <c r="M12" s="2" t="inlineStr"/>
      <c r="N12" s="2">
        <f>IF(AND(C12&lt;TODAY(),L12&lt;&gt;"Completed"),"Overdue","")</f>
        <v/>
      </c>
      <c r="O12" s="2" t="inlineStr">
        <is>
          <t>Illustrative sample; confirm task and deadline</t>
        </is>
      </c>
    </row>
    <row r="13">
      <c r="A13" s="2" t="inlineStr">
        <is>
          <t>T12</t>
        </is>
      </c>
      <c r="B13" s="2" t="inlineStr">
        <is>
          <t>Practise five coding problems</t>
        </is>
      </c>
      <c r="C13" s="3" t="n">
        <v>46325</v>
      </c>
      <c r="D13" s="2" t="n">
        <v>2</v>
      </c>
      <c r="E13" s="2" t="inlineStr">
        <is>
          <t>High</t>
        </is>
      </c>
      <c r="F13" s="2" t="inlineStr">
        <is>
          <t>Important practice</t>
        </is>
      </c>
      <c r="G13" s="2" t="inlineStr">
        <is>
          <t>Coding</t>
        </is>
      </c>
      <c r="H13" s="2" t="inlineStr"/>
      <c r="I13" s="2" t="inlineStr"/>
      <c r="J13" s="2" t="inlineStr"/>
      <c r="K13" s="2" t="inlineStr"/>
      <c r="L13" s="2" t="inlineStr">
        <is>
          <t>Not started</t>
        </is>
      </c>
      <c r="M13" s="2" t="inlineStr"/>
      <c r="N13" s="2">
        <f>IF(AND(C13&lt;TODAY(),L13&lt;&gt;"Completed"),"Overdue","")</f>
        <v/>
      </c>
      <c r="O13" s="2" t="inlineStr">
        <is>
          <t>Illustrative sample; confirm task and deadline</t>
        </is>
      </c>
    </row>
    <row r="14">
      <c r="A14" s="2" t="inlineStr">
        <is>
          <t>T13</t>
        </is>
      </c>
      <c r="B14" s="2" t="inlineStr">
        <is>
          <t>Compare outputs from three AI tools</t>
        </is>
      </c>
      <c r="C14" s="3" t="n">
        <v>46325</v>
      </c>
      <c r="D14" s="2" t="n">
        <v>1.5</v>
      </c>
      <c r="E14" s="2" t="inlineStr">
        <is>
          <t>High</t>
        </is>
      </c>
      <c r="F14" s="2" t="inlineStr">
        <is>
          <t>Core project evidence</t>
        </is>
      </c>
      <c r="G14" s="2" t="inlineStr">
        <is>
          <t>Project</t>
        </is>
      </c>
      <c r="H14" s="2" t="inlineStr"/>
      <c r="I14" s="2" t="inlineStr"/>
      <c r="J14" s="2" t="inlineStr"/>
      <c r="K14" s="2" t="inlineStr"/>
      <c r="L14" s="2" t="inlineStr">
        <is>
          <t>Not started</t>
        </is>
      </c>
      <c r="M14" s="2" t="inlineStr"/>
      <c r="N14" s="2">
        <f>IF(AND(C14&lt;TODAY(),L14&lt;&gt;"Completed"),"Overdue","")</f>
        <v/>
      </c>
      <c r="O14" s="2" t="inlineStr">
        <is>
          <t>Illustrative sample; confirm task and deadline</t>
        </is>
      </c>
    </row>
    <row r="15">
      <c r="A15" s="2" t="inlineStr">
        <is>
          <t>T14</t>
        </is>
      </c>
      <c r="B15" s="2" t="inlineStr">
        <is>
          <t>Prepare presentation slides</t>
        </is>
      </c>
      <c r="C15" s="3" t="n">
        <v>46326</v>
      </c>
      <c r="D15" s="2" t="n">
        <v>2</v>
      </c>
      <c r="E15" s="2" t="inlineStr">
        <is>
          <t>High</t>
        </is>
      </c>
      <c r="F15" s="2" t="inlineStr">
        <is>
          <t>Important project milestone</t>
        </is>
      </c>
      <c r="G15" s="2" t="inlineStr">
        <is>
          <t>Project</t>
        </is>
      </c>
      <c r="H15" s="2" t="inlineStr"/>
      <c r="I15" s="2" t="inlineStr"/>
      <c r="J15" s="2" t="inlineStr"/>
      <c r="K15" s="2" t="inlineStr"/>
      <c r="L15" s="2" t="inlineStr">
        <is>
          <t>Not started</t>
        </is>
      </c>
      <c r="M15" s="2" t="inlineStr"/>
      <c r="N15" s="2">
        <f>IF(AND(C15&lt;TODAY(),L15&lt;&gt;"Completed"),"Overdue","")</f>
        <v/>
      </c>
      <c r="O15" s="2" t="inlineStr">
        <is>
          <t>Illustrative sample; confirm task and deadline</t>
        </is>
      </c>
    </row>
    <row r="16">
      <c r="A16" s="2" t="inlineStr">
        <is>
          <t>T15</t>
        </is>
      </c>
      <c r="B16" s="2" t="inlineStr">
        <is>
          <t>Build one mini-project feature</t>
        </is>
      </c>
      <c r="C16" s="3" t="n">
        <v>46326</v>
      </c>
      <c r="D16" s="2" t="n">
        <v>2.5</v>
      </c>
      <c r="E16" s="2" t="inlineStr">
        <is>
          <t>High</t>
        </is>
      </c>
      <c r="F16" s="2" t="inlineStr">
        <is>
          <t>Important project work</t>
        </is>
      </c>
      <c r="G16" s="2" t="inlineStr">
        <is>
          <t>Project</t>
        </is>
      </c>
      <c r="H16" s="2" t="inlineStr"/>
      <c r="I16" s="2" t="inlineStr"/>
      <c r="J16" s="2" t="inlineStr"/>
      <c r="K16" s="2" t="inlineStr"/>
      <c r="L16" s="2" t="inlineStr">
        <is>
          <t>Not started</t>
        </is>
      </c>
      <c r="M16" s="2" t="inlineStr"/>
      <c r="N16" s="2">
        <f>IF(AND(C16&lt;TODAY(),L16&lt;&gt;"Completed"),"Overdue","")</f>
        <v/>
      </c>
      <c r="O16" s="2" t="inlineStr">
        <is>
          <t>Illustrative sample; confirm task and deadline</t>
        </is>
      </c>
    </row>
    <row r="17">
      <c r="A17" s="2" t="inlineStr">
        <is>
          <t>T16</t>
        </is>
      </c>
      <c r="B17" s="2" t="inlineStr">
        <is>
          <t>Revise Subject B — Unit 3</t>
        </is>
      </c>
      <c r="C17" s="3" t="n">
        <v>46326</v>
      </c>
      <c r="D17" s="2" t="n">
        <v>1.5</v>
      </c>
      <c r="E17" s="2" t="inlineStr">
        <is>
          <t>Medium</t>
        </is>
      </c>
      <c r="F17" s="2" t="inlineStr">
        <is>
          <t>Important; schedule</t>
        </is>
      </c>
      <c r="G17" s="2" t="inlineStr">
        <is>
          <t>Study</t>
        </is>
      </c>
      <c r="H17" s="2" t="inlineStr"/>
      <c r="I17" s="2" t="inlineStr"/>
      <c r="J17" s="2" t="inlineStr"/>
      <c r="K17" s="2" t="inlineStr"/>
      <c r="L17" s="2" t="inlineStr">
        <is>
          <t>Not started</t>
        </is>
      </c>
      <c r="M17" s="2" t="inlineStr"/>
      <c r="N17" s="2">
        <f>IF(AND(C17&lt;TODAY(),L17&lt;&gt;"Completed"),"Overdue","")</f>
        <v/>
      </c>
      <c r="O17" s="2" t="inlineStr">
        <is>
          <t>Illustrative sample; confirm task and deadline</t>
        </is>
      </c>
    </row>
    <row r="18">
      <c r="A18" s="2" t="inlineStr">
        <is>
          <t>T17</t>
        </is>
      </c>
      <c r="B18" s="2" t="inlineStr">
        <is>
          <t>Create one-page weekly template</t>
        </is>
      </c>
      <c r="C18" s="3" t="n">
        <v>46326</v>
      </c>
      <c r="D18" s="2" t="n">
        <v>1</v>
      </c>
      <c r="E18" s="2" t="inlineStr">
        <is>
          <t>Medium</t>
        </is>
      </c>
      <c r="F18" s="2" t="inlineStr">
        <is>
          <t>Required deliverable</t>
        </is>
      </c>
      <c r="G18" s="2" t="inlineStr">
        <is>
          <t>Project</t>
        </is>
      </c>
      <c r="H18" s="2" t="inlineStr"/>
      <c r="I18" s="2" t="inlineStr"/>
      <c r="J18" s="2" t="inlineStr"/>
      <c r="K18" s="2" t="inlineStr"/>
      <c r="L18" s="2" t="inlineStr">
        <is>
          <t>Not started</t>
        </is>
      </c>
      <c r="M18" s="2" t="inlineStr"/>
      <c r="N18" s="2">
        <f>IF(AND(C18&lt;TODAY(),L18&lt;&gt;"Completed"),"Overdue","")</f>
        <v/>
      </c>
      <c r="O18" s="2" t="inlineStr">
        <is>
          <t>Illustrative sample; confirm task and deadline</t>
        </is>
      </c>
    </row>
    <row r="19">
      <c r="A19" s="2" t="inlineStr">
        <is>
          <t>T18</t>
        </is>
      </c>
      <c r="B19" s="2" t="inlineStr">
        <is>
          <t>Verify AI-generated schedules</t>
        </is>
      </c>
      <c r="C19" s="3" t="n">
        <v>46326</v>
      </c>
      <c r="D19" s="2" t="n">
        <v>1</v>
      </c>
      <c r="E19" s="2" t="inlineStr">
        <is>
          <t>High</t>
        </is>
      </c>
      <c r="F19" s="2" t="inlineStr">
        <is>
          <t>Required quality check</t>
        </is>
      </c>
      <c r="G19" s="2" t="inlineStr">
        <is>
          <t>Verification</t>
        </is>
      </c>
      <c r="H19" s="2" t="inlineStr"/>
      <c r="I19" s="2" t="inlineStr"/>
      <c r="J19" s="2" t="inlineStr"/>
      <c r="K19" s="2" t="inlineStr"/>
      <c r="L19" s="2" t="inlineStr">
        <is>
          <t>Not started</t>
        </is>
      </c>
      <c r="M19" s="2" t="inlineStr"/>
      <c r="N19" s="2">
        <f>IF(AND(C19&lt;TODAY(),L19&lt;&gt;"Completed"),"Overdue","")</f>
        <v/>
      </c>
      <c r="O19" s="2" t="inlineStr">
        <is>
          <t>Illustrative sample; confirm task and deadline</t>
        </is>
      </c>
    </row>
    <row r="20">
      <c r="A20" s="2" t="inlineStr">
        <is>
          <t>T19</t>
        </is>
      </c>
      <c r="B20" s="2" t="inlineStr">
        <is>
          <t>Review missed coding questions</t>
        </is>
      </c>
      <c r="C20" s="3" t="n">
        <v>46327</v>
      </c>
      <c r="D20" s="2" t="n">
        <v>1.5</v>
      </c>
      <c r="E20" s="2" t="inlineStr">
        <is>
          <t>Medium</t>
        </is>
      </c>
      <c r="F20" s="2" t="inlineStr">
        <is>
          <t>Learning follow-up</t>
        </is>
      </c>
      <c r="G20" s="2" t="inlineStr">
        <is>
          <t>Coding</t>
        </is>
      </c>
      <c r="H20" s="2" t="inlineStr"/>
      <c r="I20" s="2" t="inlineStr"/>
      <c r="J20" s="2" t="inlineStr"/>
      <c r="K20" s="2" t="inlineStr"/>
      <c r="L20" s="2" t="inlineStr">
        <is>
          <t>Not started</t>
        </is>
      </c>
      <c r="M20" s="2" t="inlineStr"/>
      <c r="N20" s="2">
        <f>IF(AND(C20&lt;TODAY(),L20&lt;&gt;"Completed"),"Overdue","")</f>
        <v/>
      </c>
      <c r="O20" s="2" t="inlineStr">
        <is>
          <t>Illustrative sample; confirm task and deadline</t>
        </is>
      </c>
    </row>
    <row r="21">
      <c r="A21" s="2" t="inlineStr">
        <is>
          <t>T20</t>
        </is>
      </c>
      <c r="B21" s="2" t="inlineStr">
        <is>
          <t>Write final project report</t>
        </is>
      </c>
      <c r="C21" s="3" t="n">
        <v>46327</v>
      </c>
      <c r="D21" s="2" t="n">
        <v>2</v>
      </c>
      <c r="E21" s="2" t="inlineStr">
        <is>
          <t>High</t>
        </is>
      </c>
      <c r="F21" s="2" t="inlineStr">
        <is>
          <t>Required deliverable</t>
        </is>
      </c>
      <c r="G21" s="2" t="inlineStr">
        <is>
          <t>Project</t>
        </is>
      </c>
      <c r="H21" s="2" t="inlineStr"/>
      <c r="I21" s="2" t="inlineStr"/>
      <c r="J21" s="2" t="inlineStr"/>
      <c r="K21" s="2" t="inlineStr"/>
      <c r="L21" s="2" t="inlineStr">
        <is>
          <t>Not started</t>
        </is>
      </c>
      <c r="M21" s="2" t="inlineStr"/>
      <c r="N21" s="2">
        <f>IF(AND(C21&lt;TODAY(),L21&lt;&gt;"Completed"),"Overdue","")</f>
        <v/>
      </c>
      <c r="O21" s="2" t="inlineStr">
        <is>
          <t>Illustrative sample; confirm task and deadline</t>
        </is>
      </c>
    </row>
    <row r="22">
      <c r="A22" s="2" t="inlineStr">
        <is>
          <t>T21</t>
        </is>
      </c>
      <c r="B22" s="2" t="inlineStr">
        <is>
          <t>Analyse completion-rate data</t>
        </is>
      </c>
      <c r="C22" s="3" t="n">
        <v>46327</v>
      </c>
      <c r="D22" s="2" t="n">
        <v>1</v>
      </c>
      <c r="E22" s="2" t="inlineStr">
        <is>
          <t>High</t>
        </is>
      </c>
      <c r="F22" s="2" t="inlineStr">
        <is>
          <t>Required evaluation</t>
        </is>
      </c>
      <c r="G22" s="2" t="inlineStr">
        <is>
          <t>Analysis</t>
        </is>
      </c>
      <c r="H22" s="2" t="inlineStr"/>
      <c r="I22" s="2" t="inlineStr"/>
      <c r="J22" s="2" t="inlineStr"/>
      <c r="K22" s="2" t="inlineStr"/>
      <c r="L22" s="2" t="inlineStr">
        <is>
          <t>Not started</t>
        </is>
      </c>
      <c r="M22" s="2" t="inlineStr"/>
      <c r="N22" s="2">
        <f>IF(AND(C22&lt;TODAY(),L22&lt;&gt;"Completed"),"Overdue","")</f>
        <v/>
      </c>
      <c r="O22" s="2" t="inlineStr">
        <is>
          <t>Illustrative sample; confirm task and deadline</t>
        </is>
      </c>
    </row>
    <row r="23">
      <c r="A23" s="2" t="inlineStr">
        <is>
          <t>T22</t>
        </is>
      </c>
      <c r="B23" s="2" t="inlineStr">
        <is>
          <t>Create before-and-after chart</t>
        </is>
      </c>
      <c r="C23" s="3" t="n">
        <v>46327</v>
      </c>
      <c r="D23" s="2" t="n">
        <v>1</v>
      </c>
      <c r="E23" s="2" t="inlineStr">
        <is>
          <t>Medium</t>
        </is>
      </c>
      <c r="F23" s="2" t="inlineStr">
        <is>
          <t>Required evaluation</t>
        </is>
      </c>
      <c r="G23" s="2" t="inlineStr">
        <is>
          <t>Analysis</t>
        </is>
      </c>
      <c r="H23" s="2" t="inlineStr"/>
      <c r="I23" s="2" t="inlineStr"/>
      <c r="J23" s="2" t="inlineStr"/>
      <c r="K23" s="2" t="inlineStr"/>
      <c r="L23" s="2" t="inlineStr">
        <is>
          <t>Not started</t>
        </is>
      </c>
      <c r="M23" s="2" t="inlineStr"/>
      <c r="N23" s="2">
        <f>IF(AND(C23&lt;TODAY(),L23&lt;&gt;"Completed"),"Overdue","")</f>
        <v/>
      </c>
      <c r="O23" s="2" t="inlineStr">
        <is>
          <t>Illustrative sample; confirm task and deadline</t>
        </is>
      </c>
    </row>
    <row r="24">
      <c r="A24" s="2" t="inlineStr">
        <is>
          <t>T23</t>
        </is>
      </c>
      <c r="B24" s="2" t="inlineStr">
        <is>
          <t>Prepare final demo</t>
        </is>
      </c>
      <c r="C24" s="3" t="n">
        <v>46327</v>
      </c>
      <c r="D24" s="2" t="n">
        <v>1.5</v>
      </c>
      <c r="E24" s="2" t="inlineStr">
        <is>
          <t>High</t>
        </is>
      </c>
      <c r="F24" s="2" t="inlineStr">
        <is>
          <t>Required deliverable</t>
        </is>
      </c>
      <c r="G24" s="2" t="inlineStr">
        <is>
          <t>Presentation</t>
        </is>
      </c>
      <c r="H24" s="2" t="inlineStr"/>
      <c r="I24" s="2" t="inlineStr"/>
      <c r="J24" s="2" t="inlineStr"/>
      <c r="K24" s="2" t="inlineStr"/>
      <c r="L24" s="2" t="inlineStr">
        <is>
          <t>Not started</t>
        </is>
      </c>
      <c r="M24" s="2" t="inlineStr"/>
      <c r="N24" s="2">
        <f>IF(AND(C24&lt;TODAY(),L24&lt;&gt;"Completed"),"Overdue","")</f>
        <v/>
      </c>
      <c r="O24" s="2" t="inlineStr">
        <is>
          <t>Illustrative sample; confirm task and deadline</t>
        </is>
      </c>
    </row>
    <row r="25">
      <c r="A25" s="2" t="inlineStr">
        <is>
          <t>T24</t>
        </is>
      </c>
      <c r="B25" s="2" t="inlineStr">
        <is>
          <t>Organise notes and project files</t>
        </is>
      </c>
      <c r="C25" s="3" t="n">
        <v>46327</v>
      </c>
      <c r="D25" s="2" t="n">
        <v>0.5</v>
      </c>
      <c r="E25" s="2" t="inlineStr">
        <is>
          <t>Low</t>
        </is>
      </c>
      <c r="F25" s="2" t="inlineStr">
        <is>
          <t>Admin; batch if time</t>
        </is>
      </c>
      <c r="G25" s="2" t="inlineStr">
        <is>
          <t>Admin</t>
        </is>
      </c>
      <c r="H25" s="2" t="inlineStr"/>
      <c r="I25" s="2" t="inlineStr"/>
      <c r="J25" s="2" t="inlineStr"/>
      <c r="K25" s="2" t="inlineStr"/>
      <c r="L25" s="2" t="inlineStr">
        <is>
          <t>Not started</t>
        </is>
      </c>
      <c r="M25" s="2" t="inlineStr"/>
      <c r="N25" s="2">
        <f>IF(AND(C25&lt;TODAY(),L25&lt;&gt;"Completed"),"Overdue","")</f>
        <v/>
      </c>
      <c r="O25" s="2" t="inlineStr">
        <is>
          <t>Illustrative sample; confirm task and deadline</t>
        </is>
      </c>
    </row>
    <row r="26">
      <c r="A26" s="2" t="inlineStr">
        <is>
          <t>T25</t>
        </is>
      </c>
      <c r="B26" s="2" t="inlineStr">
        <is>
          <t>Weekly review and next-week planning</t>
        </is>
      </c>
      <c r="C26" s="3" t="n">
        <v>46327</v>
      </c>
      <c r="D26" s="2" t="n">
        <v>0.5</v>
      </c>
      <c r="E26" s="2" t="inlineStr">
        <is>
          <t>Medium</t>
        </is>
      </c>
      <c r="F26" s="2" t="inlineStr">
        <is>
          <t>Close-out and reflection</t>
        </is>
      </c>
      <c r="G26" s="2" t="inlineStr">
        <is>
          <t>Review</t>
        </is>
      </c>
      <c r="H26" s="2" t="inlineStr"/>
      <c r="I26" s="2" t="inlineStr"/>
      <c r="J26" s="2" t="inlineStr"/>
      <c r="K26" s="2" t="inlineStr"/>
      <c r="L26" s="2" t="inlineStr">
        <is>
          <t>Not started</t>
        </is>
      </c>
      <c r="M26" s="2" t="inlineStr"/>
      <c r="N26" s="2">
        <f>IF(AND(C26&lt;TODAY(),L26&lt;&gt;"Completed"),"Overdue","")</f>
        <v/>
      </c>
      <c r="O26" s="2" t="inlineStr">
        <is>
          <t>Illustrative sample; confirm task and deadline</t>
        </is>
      </c>
    </row>
  </sheetData>
  <autoFilter ref="A1:O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5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How to interpret</t>
        </is>
      </c>
    </row>
    <row r="2">
      <c r="A2" t="inlineStr">
        <is>
          <t>Tasks in list</t>
        </is>
      </c>
      <c r="B2">
        <f>COUNTA('Task List'!A2:A26)</f>
        <v/>
      </c>
      <c r="C2" t="inlineStr">
        <is>
          <t>Should be 25 after task list is finalised</t>
        </is>
      </c>
    </row>
    <row r="3">
      <c r="A3" t="inlineStr">
        <is>
          <t>Completed tasks</t>
        </is>
      </c>
      <c r="B3">
        <f>COUNTIF('Task List'!L2:L26,"Completed")</f>
        <v/>
      </c>
      <c r="C3" t="inlineStr">
        <is>
          <t>Count only tasks marked Completed</t>
        </is>
      </c>
    </row>
    <row r="4">
      <c r="A4" t="inlineStr">
        <is>
          <t>Task completion rate</t>
        </is>
      </c>
      <c r="B4" s="5">
        <f>IFERROR(B3/B2,0)</f>
        <v/>
      </c>
      <c r="C4" t="inlineStr">
        <is>
          <t>Format as percentage; only meaningful after tracking</t>
        </is>
      </c>
    </row>
    <row r="5">
      <c r="A5" t="inlineStr">
        <is>
          <t>Total estimated effort</t>
        </is>
      </c>
      <c r="B5">
        <f>SUM('Task List'!D2:D26)</f>
        <v/>
      </c>
      <c r="C5" t="inlineStr">
        <is>
          <t>Illustrative list total</t>
        </is>
      </c>
    </row>
    <row r="6">
      <c r="A6" t="inlineStr">
        <is>
          <t>Actual hours recorded</t>
        </is>
      </c>
      <c r="B6">
        <f>SUM('Task List'!K2:K26)</f>
        <v/>
      </c>
      <c r="C6" t="inlineStr">
        <is>
          <t>Enter actual time after work</t>
        </is>
      </c>
    </row>
    <row r="7">
      <c r="A7" t="inlineStr">
        <is>
          <t>Tasks overdue</t>
        </is>
      </c>
      <c r="B7">
        <f>COUNTIF('Task List'!N2:N26,"Overdue")</f>
        <v/>
      </c>
      <c r="C7" t="inlineStr">
        <is>
          <t>Check date values and completion status</t>
        </is>
      </c>
    </row>
    <row r="8">
      <c r="A8" t="inlineStr">
        <is>
          <t>Week starting</t>
        </is>
      </c>
      <c r="B8" s="6" t="n">
        <v>46321</v>
      </c>
      <c r="C8" t="inlineStr">
        <is>
          <t>Change to actual experiment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2026-10-20T16:24:33Z</dcterms:created>
  <dcterms:modified xmlns:dcterms="http://purl.org/dc/terms/" xmlns:xsi="http://www.w3.org/2001/XMLSchema-instance" xsi:type="dcterms:W3CDTF">2026-10-20T16:24:33Z</dcterms:modified>
</cp:coreProperties>
</file>